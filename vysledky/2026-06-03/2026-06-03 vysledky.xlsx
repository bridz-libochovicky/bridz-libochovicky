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 Data\Bridge\"/>
    </mc:Choice>
  </mc:AlternateContent>
  <xr:revisionPtr revIDLastSave="0" documentId="13_ncr:1_{9C9ABB02-EF92-4F24-924E-6522871F681E}" xr6:coauthVersionLast="47" xr6:coauthVersionMax="47" xr10:uidLastSave="{00000000-0000-0000-0000-000000000000}"/>
  <bookViews>
    <workbookView xWindow="-120" yWindow="-120" windowWidth="29040" windowHeight="15720" xr2:uid="{8126D4E7-21D8-47C1-841D-023A0D0F9C9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G75" i="1"/>
  <c r="G74" i="1"/>
  <c r="G73" i="1"/>
  <c r="H68" i="1"/>
  <c r="H46" i="1"/>
  <c r="H24" i="1"/>
  <c r="F75" i="1" l="1"/>
  <c r="F74" i="1"/>
  <c r="F73" i="1"/>
  <c r="F76" i="1"/>
</calcChain>
</file>

<file path=xl/sharedStrings.xml><?xml version="1.0" encoding="utf-8"?>
<sst xmlns="http://schemas.openxmlformats.org/spreadsheetml/2006/main" count="207" uniqueCount="60">
  <si>
    <t xml:space="preserve">TÝMOVÝ TURNAJ </t>
  </si>
  <si>
    <t>Libochovičky</t>
  </si>
  <si>
    <t>NS</t>
  </si>
  <si>
    <t>EW</t>
  </si>
  <si>
    <t>Board No. #</t>
  </si>
  <si>
    <t>Závazek</t>
  </si>
  <si>
    <t>HH</t>
  </si>
  <si>
    <t>Výsledek</t>
  </si>
  <si>
    <t>IMP               NS</t>
  </si>
  <si>
    <t>3NT</t>
  </si>
  <si>
    <t>S</t>
  </si>
  <si>
    <t xml:space="preserve"> =</t>
  </si>
  <si>
    <t>4S</t>
  </si>
  <si>
    <t>+1</t>
  </si>
  <si>
    <t>4Hx</t>
  </si>
  <si>
    <t>N</t>
  </si>
  <si>
    <t>-1</t>
  </si>
  <si>
    <t>3H</t>
  </si>
  <si>
    <t>+2</t>
  </si>
  <si>
    <t>6H</t>
  </si>
  <si>
    <t>+3</t>
  </si>
  <si>
    <t>E</t>
  </si>
  <si>
    <t>2S</t>
  </si>
  <si>
    <t>-2</t>
  </si>
  <si>
    <t>6S</t>
  </si>
  <si>
    <t>3C</t>
  </si>
  <si>
    <t>3S</t>
  </si>
  <si>
    <t xml:space="preserve"> 4+3</t>
  </si>
  <si>
    <t xml:space="preserve"> 2+1</t>
  </si>
  <si>
    <t xml:space="preserve">VP               </t>
  </si>
  <si>
    <t xml:space="preserve">4+1 </t>
  </si>
  <si>
    <t xml:space="preserve">3+2 </t>
  </si>
  <si>
    <t>2H</t>
  </si>
  <si>
    <t>W</t>
  </si>
  <si>
    <t>-3</t>
  </si>
  <si>
    <t>5D</t>
  </si>
  <si>
    <t>4Sx</t>
  </si>
  <si>
    <t>3Sx</t>
  </si>
  <si>
    <t>1D</t>
  </si>
  <si>
    <t>pass</t>
  </si>
  <si>
    <t>3NTx</t>
  </si>
  <si>
    <t xml:space="preserve"> 1-10</t>
  </si>
  <si>
    <t xml:space="preserve"> 11-20</t>
  </si>
  <si>
    <t xml:space="preserve"> 21-30</t>
  </si>
  <si>
    <t>4+2</t>
  </si>
  <si>
    <t xml:space="preserve"> 1+3 </t>
  </si>
  <si>
    <t>5C</t>
  </si>
  <si>
    <t>-4</t>
  </si>
  <si>
    <t>2D</t>
  </si>
  <si>
    <t>1NT</t>
  </si>
  <si>
    <t>Pár č.</t>
  </si>
  <si>
    <t xml:space="preserve">Jména </t>
  </si>
  <si>
    <t>IMP</t>
  </si>
  <si>
    <t>VP</t>
  </si>
  <si>
    <t>Červenka - Mužík</t>
  </si>
  <si>
    <t>Malínský - Kubíček</t>
  </si>
  <si>
    <t>Kýn - Kala</t>
  </si>
  <si>
    <t>Zerzaň - Novotný</t>
  </si>
  <si>
    <t>Pořadí</t>
  </si>
  <si>
    <t>KONEČNÉ VÝSLEDKY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</si>
</sst>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3" xfId="0" applyBorder="1"/>
    <xf numFmtId="0" fontId="0" fillId="2" borderId="0" xfId="0" applyFill="1" applyBorder="1"/>
    <xf numFmtId="0" fontId="0" fillId="2" borderId="6" xfId="0" applyFill="1" applyBorder="1"/>
    <xf numFmtId="165" fontId="0" fillId="2" borderId="1" xfId="0" applyNumberForma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96B1-3330-40A2-97E4-E04BD2CD06A8}">
  <dimension ref="A1:I76"/>
  <sheetViews>
    <sheetView tabSelected="1" workbookViewId="0">
      <selection activeCell="K5" sqref="K5"/>
    </sheetView>
  </sheetViews>
  <sheetFormatPr defaultRowHeight="15" x14ac:dyDescent="0.25"/>
  <cols>
    <col min="1" max="1" width="6.85546875" customWidth="1"/>
    <col min="2" max="3" width="5.85546875" customWidth="1"/>
    <col min="4" max="4" width="10.140625" customWidth="1"/>
    <col min="5" max="5" width="5.42578125" customWidth="1"/>
    <col min="7" max="7" width="7.7109375" customWidth="1"/>
    <col min="8" max="8" width="7.42578125" customWidth="1"/>
    <col min="9" max="9" width="7.5703125" customWidth="1"/>
  </cols>
  <sheetData>
    <row r="1" spans="1:9" ht="15.75" x14ac:dyDescent="0.25">
      <c r="A1" s="30" t="s">
        <v>0</v>
      </c>
      <c r="B1" s="30"/>
      <c r="C1" s="30"/>
      <c r="D1" s="31">
        <v>46176</v>
      </c>
      <c r="E1" s="31"/>
      <c r="F1" s="30" t="s">
        <v>1</v>
      </c>
    </row>
    <row r="3" spans="1:9" ht="30" x14ac:dyDescent="0.25">
      <c r="A3" s="3" t="s">
        <v>4</v>
      </c>
      <c r="B3" s="4" t="s">
        <v>2</v>
      </c>
      <c r="C3" s="4" t="s">
        <v>3</v>
      </c>
      <c r="D3" s="4" t="s">
        <v>5</v>
      </c>
      <c r="E3" s="4" t="s">
        <v>6</v>
      </c>
      <c r="F3" s="4" t="s">
        <v>7</v>
      </c>
      <c r="G3" s="4" t="s">
        <v>2</v>
      </c>
      <c r="H3" s="5" t="s">
        <v>8</v>
      </c>
      <c r="I3" s="5" t="s">
        <v>29</v>
      </c>
    </row>
    <row r="4" spans="1:9" x14ac:dyDescent="0.25">
      <c r="A4" s="6">
        <v>1</v>
      </c>
      <c r="B4" s="4">
        <v>4</v>
      </c>
      <c r="C4" s="4">
        <v>1</v>
      </c>
      <c r="D4" s="4" t="s">
        <v>9</v>
      </c>
      <c r="E4" s="4" t="s">
        <v>10</v>
      </c>
      <c r="F4" s="7" t="s">
        <v>11</v>
      </c>
      <c r="G4" s="4">
        <v>400</v>
      </c>
      <c r="H4" s="4">
        <v>-2</v>
      </c>
      <c r="I4" s="10"/>
    </row>
    <row r="5" spans="1:9" x14ac:dyDescent="0.25">
      <c r="A5" s="6"/>
      <c r="B5" s="4">
        <v>2</v>
      </c>
      <c r="C5" s="4">
        <v>3</v>
      </c>
      <c r="D5" s="4" t="s">
        <v>12</v>
      </c>
      <c r="E5" s="4" t="s">
        <v>10</v>
      </c>
      <c r="F5" s="7" t="s">
        <v>13</v>
      </c>
      <c r="G5" s="4">
        <v>450</v>
      </c>
      <c r="H5" s="4">
        <v>2</v>
      </c>
      <c r="I5" s="11"/>
    </row>
    <row r="6" spans="1:9" x14ac:dyDescent="0.25">
      <c r="A6" s="6">
        <v>2</v>
      </c>
      <c r="B6" s="4">
        <v>4</v>
      </c>
      <c r="C6" s="4">
        <v>1</v>
      </c>
      <c r="D6" s="4" t="s">
        <v>14</v>
      </c>
      <c r="E6" s="4" t="s">
        <v>15</v>
      </c>
      <c r="F6" s="7" t="s">
        <v>16</v>
      </c>
      <c r="G6" s="4">
        <v>-200</v>
      </c>
      <c r="H6" s="4">
        <v>-8</v>
      </c>
      <c r="I6" s="11"/>
    </row>
    <row r="7" spans="1:9" x14ac:dyDescent="0.25">
      <c r="A7" s="6"/>
      <c r="B7" s="4">
        <v>2</v>
      </c>
      <c r="C7" s="4">
        <v>3</v>
      </c>
      <c r="D7" s="4" t="s">
        <v>17</v>
      </c>
      <c r="E7" s="4" t="s">
        <v>15</v>
      </c>
      <c r="F7" s="7" t="s">
        <v>11</v>
      </c>
      <c r="G7" s="4">
        <v>140</v>
      </c>
      <c r="H7" s="4">
        <v>8</v>
      </c>
      <c r="I7" s="11"/>
    </row>
    <row r="8" spans="1:9" x14ac:dyDescent="0.25">
      <c r="A8" s="6">
        <v>3</v>
      </c>
      <c r="B8" s="4">
        <v>4</v>
      </c>
      <c r="C8" s="4">
        <v>1</v>
      </c>
      <c r="D8" s="4" t="s">
        <v>14</v>
      </c>
      <c r="E8" s="4" t="s">
        <v>15</v>
      </c>
      <c r="F8" s="7" t="s">
        <v>18</v>
      </c>
      <c r="G8" s="4">
        <v>480</v>
      </c>
      <c r="H8" s="4">
        <v>-11</v>
      </c>
      <c r="I8" s="11"/>
    </row>
    <row r="9" spans="1:9" x14ac:dyDescent="0.25">
      <c r="A9" s="6"/>
      <c r="B9" s="4">
        <v>2</v>
      </c>
      <c r="C9" s="4">
        <v>3</v>
      </c>
      <c r="D9" s="4" t="s">
        <v>19</v>
      </c>
      <c r="E9" s="4" t="s">
        <v>15</v>
      </c>
      <c r="F9" s="7" t="s">
        <v>11</v>
      </c>
      <c r="G9" s="4">
        <v>980</v>
      </c>
      <c r="H9" s="4">
        <v>11</v>
      </c>
      <c r="I9" s="11"/>
    </row>
    <row r="10" spans="1:9" x14ac:dyDescent="0.25">
      <c r="A10" s="6">
        <v>4</v>
      </c>
      <c r="B10" s="4">
        <v>4</v>
      </c>
      <c r="C10" s="4">
        <v>1</v>
      </c>
      <c r="D10" s="4" t="s">
        <v>9</v>
      </c>
      <c r="E10" s="4" t="s">
        <v>15</v>
      </c>
      <c r="F10" s="7" t="s">
        <v>11</v>
      </c>
      <c r="G10" s="4">
        <v>600</v>
      </c>
      <c r="H10" s="4">
        <v>-3</v>
      </c>
      <c r="I10" s="11"/>
    </row>
    <row r="11" spans="1:9" x14ac:dyDescent="0.25">
      <c r="A11" s="6"/>
      <c r="B11" s="4">
        <v>2</v>
      </c>
      <c r="C11" s="4">
        <v>3</v>
      </c>
      <c r="D11" s="4" t="s">
        <v>9</v>
      </c>
      <c r="E11" s="4" t="s">
        <v>10</v>
      </c>
      <c r="F11" s="7" t="s">
        <v>20</v>
      </c>
      <c r="G11" s="4">
        <v>690</v>
      </c>
      <c r="H11" s="4">
        <v>3</v>
      </c>
      <c r="I11" s="11"/>
    </row>
    <row r="12" spans="1:9" x14ac:dyDescent="0.25">
      <c r="A12" s="6">
        <v>5</v>
      </c>
      <c r="B12" s="4">
        <v>4</v>
      </c>
      <c r="C12" s="4">
        <v>1</v>
      </c>
      <c r="D12" s="4" t="s">
        <v>9</v>
      </c>
      <c r="E12" s="4" t="s">
        <v>21</v>
      </c>
      <c r="F12" s="7" t="s">
        <v>18</v>
      </c>
      <c r="G12" s="4">
        <v>-460</v>
      </c>
      <c r="H12" s="4">
        <v>0</v>
      </c>
      <c r="I12" s="11"/>
    </row>
    <row r="13" spans="1:9" x14ac:dyDescent="0.25">
      <c r="A13" s="6"/>
      <c r="B13" s="4">
        <v>2</v>
      </c>
      <c r="C13" s="4">
        <v>3</v>
      </c>
      <c r="D13" s="4" t="s">
        <v>9</v>
      </c>
      <c r="E13" s="4" t="s">
        <v>21</v>
      </c>
      <c r="F13" s="7" t="s">
        <v>18</v>
      </c>
      <c r="G13" s="4">
        <v>-460</v>
      </c>
      <c r="H13" s="4">
        <v>0</v>
      </c>
      <c r="I13" s="11"/>
    </row>
    <row r="14" spans="1:9" x14ac:dyDescent="0.25">
      <c r="A14" s="6">
        <v>6</v>
      </c>
      <c r="B14" s="4">
        <v>4</v>
      </c>
      <c r="C14" s="4">
        <v>1</v>
      </c>
      <c r="D14" s="4" t="s">
        <v>22</v>
      </c>
      <c r="E14" s="4" t="s">
        <v>10</v>
      </c>
      <c r="F14" s="7" t="s">
        <v>13</v>
      </c>
      <c r="G14" s="4">
        <v>140</v>
      </c>
      <c r="H14" s="4">
        <v>6</v>
      </c>
      <c r="I14" s="11"/>
    </row>
    <row r="15" spans="1:9" x14ac:dyDescent="0.25">
      <c r="A15" s="6"/>
      <c r="B15" s="4">
        <v>2</v>
      </c>
      <c r="C15" s="4">
        <v>3</v>
      </c>
      <c r="D15" s="4" t="s">
        <v>12</v>
      </c>
      <c r="E15" s="4" t="s">
        <v>10</v>
      </c>
      <c r="F15" s="7" t="s">
        <v>23</v>
      </c>
      <c r="G15" s="4">
        <v>-100</v>
      </c>
      <c r="H15" s="4">
        <v>-6</v>
      </c>
      <c r="I15" s="11"/>
    </row>
    <row r="16" spans="1:9" x14ac:dyDescent="0.25">
      <c r="A16" s="6">
        <v>7</v>
      </c>
      <c r="B16" s="4">
        <v>4</v>
      </c>
      <c r="C16" s="4">
        <v>1</v>
      </c>
      <c r="D16" s="4" t="s">
        <v>22</v>
      </c>
      <c r="E16" s="4" t="s">
        <v>21</v>
      </c>
      <c r="F16" s="7" t="s">
        <v>23</v>
      </c>
      <c r="G16" s="4">
        <v>200</v>
      </c>
      <c r="H16" s="4">
        <v>2</v>
      </c>
      <c r="I16" s="11"/>
    </row>
    <row r="17" spans="1:9" x14ac:dyDescent="0.25">
      <c r="A17" s="6"/>
      <c r="B17" s="4">
        <v>2</v>
      </c>
      <c r="C17" s="4">
        <v>3</v>
      </c>
      <c r="D17" s="4" t="s">
        <v>17</v>
      </c>
      <c r="E17" s="4" t="s">
        <v>15</v>
      </c>
      <c r="F17" s="7" t="s">
        <v>11</v>
      </c>
      <c r="G17" s="4">
        <v>140</v>
      </c>
      <c r="H17" s="4">
        <v>-2</v>
      </c>
      <c r="I17" s="11"/>
    </row>
    <row r="18" spans="1:9" x14ac:dyDescent="0.25">
      <c r="A18" s="6">
        <v>8</v>
      </c>
      <c r="B18" s="4">
        <v>4</v>
      </c>
      <c r="C18" s="4">
        <v>1</v>
      </c>
      <c r="D18" s="4" t="s">
        <v>24</v>
      </c>
      <c r="E18" s="4" t="s">
        <v>21</v>
      </c>
      <c r="F18" s="7" t="s">
        <v>16</v>
      </c>
      <c r="G18" s="4">
        <v>50</v>
      </c>
      <c r="H18" s="4">
        <v>10</v>
      </c>
      <c r="I18" s="11"/>
    </row>
    <row r="19" spans="1:9" x14ac:dyDescent="0.25">
      <c r="A19" s="6"/>
      <c r="B19" s="4">
        <v>2</v>
      </c>
      <c r="C19" s="4">
        <v>3</v>
      </c>
      <c r="D19" s="4" t="s">
        <v>12</v>
      </c>
      <c r="E19" s="4" t="s">
        <v>21</v>
      </c>
      <c r="F19" s="7" t="s">
        <v>11</v>
      </c>
      <c r="G19" s="4">
        <v>-420</v>
      </c>
      <c r="H19" s="4">
        <v>-10</v>
      </c>
      <c r="I19" s="11"/>
    </row>
    <row r="20" spans="1:9" x14ac:dyDescent="0.25">
      <c r="A20" s="6">
        <v>9</v>
      </c>
      <c r="B20" s="4">
        <v>4</v>
      </c>
      <c r="C20" s="4">
        <v>1</v>
      </c>
      <c r="D20" s="4" t="s">
        <v>25</v>
      </c>
      <c r="E20" s="4" t="s">
        <v>10</v>
      </c>
      <c r="F20" s="7" t="s">
        <v>16</v>
      </c>
      <c r="G20" s="4">
        <v>-50</v>
      </c>
      <c r="H20" s="4">
        <v>3</v>
      </c>
      <c r="I20" s="11"/>
    </row>
    <row r="21" spans="1:9" x14ac:dyDescent="0.25">
      <c r="A21" s="6"/>
      <c r="B21" s="4">
        <v>2</v>
      </c>
      <c r="C21" s="4">
        <v>3</v>
      </c>
      <c r="D21" s="4" t="s">
        <v>22</v>
      </c>
      <c r="E21" s="4" t="s">
        <v>21</v>
      </c>
      <c r="F21" s="7" t="s">
        <v>13</v>
      </c>
      <c r="G21" s="4">
        <v>-140</v>
      </c>
      <c r="H21" s="4">
        <v>-3</v>
      </c>
      <c r="I21" s="11"/>
    </row>
    <row r="22" spans="1:9" x14ac:dyDescent="0.25">
      <c r="A22" s="6">
        <v>10</v>
      </c>
      <c r="B22" s="4">
        <v>4</v>
      </c>
      <c r="C22" s="4">
        <v>1</v>
      </c>
      <c r="D22" s="4" t="s">
        <v>26</v>
      </c>
      <c r="E22" s="4" t="s">
        <v>15</v>
      </c>
      <c r="F22" s="7" t="s">
        <v>16</v>
      </c>
      <c r="G22" s="4">
        <v>-100</v>
      </c>
      <c r="H22" s="4">
        <v>3</v>
      </c>
      <c r="I22" s="11"/>
    </row>
    <row r="23" spans="1:9" x14ac:dyDescent="0.25">
      <c r="A23" s="6"/>
      <c r="B23" s="4">
        <v>2</v>
      </c>
      <c r="C23" s="4">
        <v>3</v>
      </c>
      <c r="D23" s="4" t="s">
        <v>12</v>
      </c>
      <c r="E23" s="4" t="s">
        <v>15</v>
      </c>
      <c r="F23" s="7" t="s">
        <v>23</v>
      </c>
      <c r="G23" s="4">
        <v>-200</v>
      </c>
      <c r="H23" s="10">
        <v>-3</v>
      </c>
      <c r="I23" s="12"/>
    </row>
    <row r="24" spans="1:9" x14ac:dyDescent="0.25">
      <c r="A24" s="21" t="s">
        <v>41</v>
      </c>
      <c r="B24" s="9" t="s">
        <v>27</v>
      </c>
      <c r="C24" s="1"/>
      <c r="D24" s="1"/>
      <c r="E24" s="1"/>
      <c r="F24" s="2"/>
      <c r="G24" s="1"/>
      <c r="H24" s="9">
        <f>H4+H6+H8+H10+H12+H14+H16+H18+H20+H22</f>
        <v>0</v>
      </c>
      <c r="I24" s="20">
        <v>10</v>
      </c>
    </row>
    <row r="25" spans="1:9" x14ac:dyDescent="0.25">
      <c r="A25" s="8"/>
      <c r="B25" s="9" t="s">
        <v>28</v>
      </c>
      <c r="C25" s="13"/>
      <c r="D25" s="14"/>
      <c r="E25" s="14"/>
      <c r="F25" s="15"/>
      <c r="G25" s="16"/>
      <c r="H25" s="9">
        <v>0</v>
      </c>
      <c r="I25" s="20">
        <v>10</v>
      </c>
    </row>
    <row r="26" spans="1:9" x14ac:dyDescent="0.25">
      <c r="A26" s="6">
        <v>11</v>
      </c>
      <c r="B26" s="4">
        <v>4</v>
      </c>
      <c r="C26" s="4">
        <v>2</v>
      </c>
      <c r="D26" s="4" t="s">
        <v>26</v>
      </c>
      <c r="E26" s="4" t="s">
        <v>10</v>
      </c>
      <c r="F26" s="7" t="s">
        <v>11</v>
      </c>
      <c r="G26" s="4">
        <v>140</v>
      </c>
      <c r="H26" s="4">
        <v>5</v>
      </c>
      <c r="I26" s="10"/>
    </row>
    <row r="27" spans="1:9" x14ac:dyDescent="0.25">
      <c r="A27" s="6"/>
      <c r="B27" s="4">
        <v>3</v>
      </c>
      <c r="C27" s="4">
        <v>1</v>
      </c>
      <c r="D27" s="4" t="s">
        <v>12</v>
      </c>
      <c r="E27" s="4" t="s">
        <v>10</v>
      </c>
      <c r="F27" s="7" t="s">
        <v>16</v>
      </c>
      <c r="G27" s="4">
        <v>-50</v>
      </c>
      <c r="H27" s="4">
        <v>-5</v>
      </c>
      <c r="I27" s="11"/>
    </row>
    <row r="28" spans="1:9" x14ac:dyDescent="0.25">
      <c r="A28" s="6">
        <v>12</v>
      </c>
      <c r="B28" s="4">
        <v>4</v>
      </c>
      <c r="C28" s="4">
        <v>2</v>
      </c>
      <c r="D28" s="4" t="s">
        <v>26</v>
      </c>
      <c r="E28" s="4" t="s">
        <v>15</v>
      </c>
      <c r="F28" s="7" t="s">
        <v>23</v>
      </c>
      <c r="G28" s="4">
        <v>-200</v>
      </c>
      <c r="H28" s="4">
        <v>-3</v>
      </c>
      <c r="I28" s="11"/>
    </row>
    <row r="29" spans="1:9" x14ac:dyDescent="0.25">
      <c r="A29" s="6"/>
      <c r="B29" s="4">
        <v>3</v>
      </c>
      <c r="C29" s="4">
        <v>1</v>
      </c>
      <c r="D29" s="4" t="s">
        <v>32</v>
      </c>
      <c r="E29" s="4" t="s">
        <v>33</v>
      </c>
      <c r="F29" s="7" t="s">
        <v>11</v>
      </c>
      <c r="G29" s="4">
        <v>-110</v>
      </c>
      <c r="H29" s="4">
        <v>3</v>
      </c>
      <c r="I29" s="11"/>
    </row>
    <row r="30" spans="1:9" x14ac:dyDescent="0.25">
      <c r="A30" s="6">
        <v>13</v>
      </c>
      <c r="B30" s="4">
        <v>4</v>
      </c>
      <c r="C30" s="4">
        <v>2</v>
      </c>
      <c r="D30" s="4" t="s">
        <v>25</v>
      </c>
      <c r="E30" s="4" t="s">
        <v>15</v>
      </c>
      <c r="F30" s="7" t="s">
        <v>11</v>
      </c>
      <c r="G30" s="4">
        <v>110</v>
      </c>
      <c r="H30" s="4">
        <v>9</v>
      </c>
      <c r="I30" s="11"/>
    </row>
    <row r="31" spans="1:9" x14ac:dyDescent="0.25">
      <c r="A31" s="6"/>
      <c r="B31" s="4">
        <v>3</v>
      </c>
      <c r="C31" s="4">
        <v>1</v>
      </c>
      <c r="D31" s="4" t="s">
        <v>9</v>
      </c>
      <c r="E31" s="4" t="s">
        <v>10</v>
      </c>
      <c r="F31" s="7" t="s">
        <v>34</v>
      </c>
      <c r="G31" s="4">
        <v>-300</v>
      </c>
      <c r="H31" s="4">
        <v>-9</v>
      </c>
      <c r="I31" s="11"/>
    </row>
    <row r="32" spans="1:9" x14ac:dyDescent="0.25">
      <c r="A32" s="6">
        <v>14</v>
      </c>
      <c r="B32" s="4">
        <v>4</v>
      </c>
      <c r="C32" s="4">
        <v>2</v>
      </c>
      <c r="D32" s="4" t="s">
        <v>24</v>
      </c>
      <c r="E32" s="4" t="s">
        <v>33</v>
      </c>
      <c r="F32" s="7" t="s">
        <v>11</v>
      </c>
      <c r="G32" s="4">
        <v>-980</v>
      </c>
      <c r="H32" s="4">
        <v>-11</v>
      </c>
      <c r="I32" s="11"/>
    </row>
    <row r="33" spans="1:9" x14ac:dyDescent="0.25">
      <c r="A33" s="6"/>
      <c r="B33" s="4">
        <v>3</v>
      </c>
      <c r="C33" s="4">
        <v>1</v>
      </c>
      <c r="D33" s="4" t="s">
        <v>12</v>
      </c>
      <c r="E33" s="4" t="s">
        <v>21</v>
      </c>
      <c r="F33" s="7" t="s">
        <v>18</v>
      </c>
      <c r="G33" s="4">
        <v>-480</v>
      </c>
      <c r="H33" s="4">
        <v>11</v>
      </c>
      <c r="I33" s="11"/>
    </row>
    <row r="34" spans="1:9" x14ac:dyDescent="0.25">
      <c r="A34" s="6">
        <v>15</v>
      </c>
      <c r="B34" s="4">
        <v>4</v>
      </c>
      <c r="C34" s="4">
        <v>2</v>
      </c>
      <c r="D34" s="4" t="s">
        <v>35</v>
      </c>
      <c r="E34" s="4" t="s">
        <v>21</v>
      </c>
      <c r="F34" s="7">
        <v>-1</v>
      </c>
      <c r="G34" s="4">
        <v>50</v>
      </c>
      <c r="H34" s="4">
        <v>-12</v>
      </c>
      <c r="I34" s="17"/>
    </row>
    <row r="35" spans="1:9" x14ac:dyDescent="0.25">
      <c r="A35" s="6"/>
      <c r="B35" s="4">
        <v>3</v>
      </c>
      <c r="C35" s="4">
        <v>1</v>
      </c>
      <c r="D35" s="4" t="s">
        <v>36</v>
      </c>
      <c r="E35" s="4" t="s">
        <v>10</v>
      </c>
      <c r="F35" s="7" t="s">
        <v>11</v>
      </c>
      <c r="G35" s="4">
        <v>790</v>
      </c>
      <c r="H35" s="4">
        <v>12</v>
      </c>
      <c r="I35" s="17"/>
    </row>
    <row r="36" spans="1:9" x14ac:dyDescent="0.25">
      <c r="A36" s="6">
        <v>16</v>
      </c>
      <c r="B36" s="4">
        <v>4</v>
      </c>
      <c r="C36" s="4">
        <v>2</v>
      </c>
      <c r="D36" s="4" t="s">
        <v>37</v>
      </c>
      <c r="E36" s="4" t="s">
        <v>33</v>
      </c>
      <c r="F36" s="7" t="s">
        <v>20</v>
      </c>
      <c r="G36" s="4">
        <v>-1330</v>
      </c>
      <c r="H36" s="4">
        <v>-4</v>
      </c>
      <c r="I36" s="17"/>
    </row>
    <row r="37" spans="1:9" x14ac:dyDescent="0.25">
      <c r="A37" s="6"/>
      <c r="B37" s="4">
        <v>3</v>
      </c>
      <c r="C37" s="4">
        <v>1</v>
      </c>
      <c r="D37" s="4" t="s">
        <v>36</v>
      </c>
      <c r="E37" s="4" t="s">
        <v>33</v>
      </c>
      <c r="F37" s="7" t="s">
        <v>18</v>
      </c>
      <c r="G37" s="4">
        <v>-1190</v>
      </c>
      <c r="H37" s="4">
        <v>4</v>
      </c>
      <c r="I37" s="17"/>
    </row>
    <row r="38" spans="1:9" x14ac:dyDescent="0.25">
      <c r="A38" s="6">
        <v>17</v>
      </c>
      <c r="B38" s="4">
        <v>4</v>
      </c>
      <c r="C38" s="4">
        <v>2</v>
      </c>
      <c r="D38" s="4" t="s">
        <v>38</v>
      </c>
      <c r="E38" s="4" t="s">
        <v>21</v>
      </c>
      <c r="F38" s="7" t="s">
        <v>18</v>
      </c>
      <c r="G38" s="4">
        <v>-110</v>
      </c>
      <c r="H38" s="4">
        <v>-3</v>
      </c>
      <c r="I38" s="17"/>
    </row>
    <row r="39" spans="1:9" x14ac:dyDescent="0.25">
      <c r="A39" s="6"/>
      <c r="B39" s="4">
        <v>3</v>
      </c>
      <c r="C39" s="4">
        <v>1</v>
      </c>
      <c r="D39" s="4" t="s">
        <v>39</v>
      </c>
      <c r="E39" s="4"/>
      <c r="F39" s="7"/>
      <c r="G39" s="4">
        <v>0</v>
      </c>
      <c r="H39" s="4">
        <v>3</v>
      </c>
      <c r="I39" s="17"/>
    </row>
    <row r="40" spans="1:9" x14ac:dyDescent="0.25">
      <c r="A40" s="6">
        <v>18</v>
      </c>
      <c r="B40" s="4">
        <v>4</v>
      </c>
      <c r="C40" s="4">
        <v>2</v>
      </c>
      <c r="D40" s="4" t="s">
        <v>40</v>
      </c>
      <c r="E40" s="4" t="s">
        <v>33</v>
      </c>
      <c r="F40" s="7" t="s">
        <v>34</v>
      </c>
      <c r="G40" s="4">
        <v>800</v>
      </c>
      <c r="H40" s="4">
        <v>12</v>
      </c>
      <c r="I40" s="17"/>
    </row>
    <row r="41" spans="1:9" x14ac:dyDescent="0.25">
      <c r="A41" s="6"/>
      <c r="B41" s="4">
        <v>3</v>
      </c>
      <c r="C41" s="4">
        <v>1</v>
      </c>
      <c r="D41" s="4" t="s">
        <v>22</v>
      </c>
      <c r="E41" s="4" t="s">
        <v>15</v>
      </c>
      <c r="F41" s="7" t="s">
        <v>13</v>
      </c>
      <c r="G41" s="4">
        <v>140</v>
      </c>
      <c r="H41" s="4">
        <v>-12</v>
      </c>
      <c r="I41" s="17"/>
    </row>
    <row r="42" spans="1:9" x14ac:dyDescent="0.25">
      <c r="A42" s="6">
        <v>19</v>
      </c>
      <c r="B42" s="4">
        <v>4</v>
      </c>
      <c r="C42" s="4">
        <v>2</v>
      </c>
      <c r="D42" s="4" t="s">
        <v>24</v>
      </c>
      <c r="E42" s="4" t="s">
        <v>33</v>
      </c>
      <c r="F42" s="7" t="s">
        <v>13</v>
      </c>
      <c r="G42" s="4">
        <v>-1460</v>
      </c>
      <c r="H42" s="4">
        <v>-13</v>
      </c>
      <c r="I42" s="17"/>
    </row>
    <row r="43" spans="1:9" x14ac:dyDescent="0.25">
      <c r="A43" s="6"/>
      <c r="B43" s="4">
        <v>3</v>
      </c>
      <c r="C43" s="4">
        <v>1</v>
      </c>
      <c r="D43" s="4" t="s">
        <v>12</v>
      </c>
      <c r="E43" s="4" t="s">
        <v>33</v>
      </c>
      <c r="F43" s="7" t="s">
        <v>11</v>
      </c>
      <c r="G43" s="4">
        <v>-620</v>
      </c>
      <c r="H43" s="4">
        <v>13</v>
      </c>
      <c r="I43" s="17"/>
    </row>
    <row r="44" spans="1:9" x14ac:dyDescent="0.25">
      <c r="A44" s="6">
        <v>20</v>
      </c>
      <c r="B44" s="4">
        <v>4</v>
      </c>
      <c r="C44" s="4">
        <v>2</v>
      </c>
      <c r="D44" s="4" t="s">
        <v>9</v>
      </c>
      <c r="E44" s="4" t="s">
        <v>33</v>
      </c>
      <c r="F44" s="7" t="s">
        <v>13</v>
      </c>
      <c r="G44" s="4">
        <v>-630</v>
      </c>
      <c r="H44" s="4">
        <v>-1</v>
      </c>
      <c r="I44" s="17"/>
    </row>
    <row r="45" spans="1:9" x14ac:dyDescent="0.25">
      <c r="A45" s="6"/>
      <c r="B45" s="4">
        <v>3</v>
      </c>
      <c r="C45" s="4">
        <v>1</v>
      </c>
      <c r="D45" s="4" t="s">
        <v>9</v>
      </c>
      <c r="E45" s="4" t="s">
        <v>33</v>
      </c>
      <c r="F45" s="7" t="s">
        <v>11</v>
      </c>
      <c r="G45" s="4">
        <v>-600</v>
      </c>
      <c r="H45" s="4">
        <v>1</v>
      </c>
      <c r="I45" s="17"/>
    </row>
    <row r="46" spans="1:9" x14ac:dyDescent="0.25">
      <c r="A46" s="8" t="s">
        <v>42</v>
      </c>
      <c r="B46" s="9" t="s">
        <v>30</v>
      </c>
      <c r="C46" s="18"/>
      <c r="D46" s="18"/>
      <c r="E46" s="18"/>
      <c r="F46" s="18"/>
      <c r="G46" s="18"/>
      <c r="H46" s="9">
        <f>H26+H28+H30+H32+H34+H36+H38+H40+H42+H44</f>
        <v>-21</v>
      </c>
      <c r="I46" s="9">
        <v>4.7</v>
      </c>
    </row>
    <row r="47" spans="1:9" x14ac:dyDescent="0.25">
      <c r="A47" s="8"/>
      <c r="B47" s="9" t="s">
        <v>31</v>
      </c>
      <c r="C47" s="19"/>
      <c r="D47" s="19"/>
      <c r="E47" s="19"/>
      <c r="F47" s="19"/>
      <c r="G47" s="19"/>
      <c r="H47" s="9">
        <v>21</v>
      </c>
      <c r="I47" s="9">
        <v>15.3</v>
      </c>
    </row>
    <row r="48" spans="1:9" x14ac:dyDescent="0.25">
      <c r="A48" s="6">
        <v>21</v>
      </c>
      <c r="B48" s="4">
        <v>4</v>
      </c>
      <c r="C48" s="4">
        <v>3</v>
      </c>
      <c r="D48" s="4" t="s">
        <v>36</v>
      </c>
      <c r="E48" s="4" t="s">
        <v>15</v>
      </c>
      <c r="F48" s="7" t="s">
        <v>16</v>
      </c>
      <c r="G48" s="4">
        <v>-200</v>
      </c>
      <c r="H48" s="4">
        <v>-8</v>
      </c>
      <c r="I48" s="10"/>
    </row>
    <row r="49" spans="1:9" x14ac:dyDescent="0.25">
      <c r="A49" s="6"/>
      <c r="B49" s="4">
        <v>1</v>
      </c>
      <c r="C49" s="4">
        <v>2</v>
      </c>
      <c r="D49" s="4" t="s">
        <v>22</v>
      </c>
      <c r="E49" s="4" t="s">
        <v>10</v>
      </c>
      <c r="F49" s="7" t="s">
        <v>13</v>
      </c>
      <c r="G49" s="4">
        <v>140</v>
      </c>
      <c r="H49" s="4">
        <v>8</v>
      </c>
      <c r="I49" s="11"/>
    </row>
    <row r="50" spans="1:9" x14ac:dyDescent="0.25">
      <c r="A50" s="6">
        <v>22</v>
      </c>
      <c r="B50" s="4">
        <v>4</v>
      </c>
      <c r="C50" s="4">
        <v>3</v>
      </c>
      <c r="D50" s="4" t="s">
        <v>17</v>
      </c>
      <c r="E50" s="4" t="s">
        <v>21</v>
      </c>
      <c r="F50" s="7" t="s">
        <v>34</v>
      </c>
      <c r="G50" s="4">
        <v>300</v>
      </c>
      <c r="H50" s="4">
        <v>4</v>
      </c>
      <c r="I50" s="11"/>
    </row>
    <row r="51" spans="1:9" x14ac:dyDescent="0.25">
      <c r="A51" s="6"/>
      <c r="B51" s="4">
        <v>1</v>
      </c>
      <c r="C51" s="4">
        <v>2</v>
      </c>
      <c r="D51" s="4" t="s">
        <v>22</v>
      </c>
      <c r="E51" s="4" t="s">
        <v>15</v>
      </c>
      <c r="F51" s="7" t="s">
        <v>18</v>
      </c>
      <c r="G51" s="4">
        <v>170</v>
      </c>
      <c r="H51" s="4">
        <v>-4</v>
      </c>
      <c r="I51" s="11"/>
    </row>
    <row r="52" spans="1:9" x14ac:dyDescent="0.25">
      <c r="A52" s="6">
        <v>23</v>
      </c>
      <c r="B52" s="4">
        <v>4</v>
      </c>
      <c r="C52" s="4">
        <v>3</v>
      </c>
      <c r="D52" s="4" t="s">
        <v>46</v>
      </c>
      <c r="E52" s="4" t="s">
        <v>33</v>
      </c>
      <c r="F52" s="7" t="s">
        <v>47</v>
      </c>
      <c r="G52" s="4">
        <v>400</v>
      </c>
      <c r="H52" s="4">
        <v>11</v>
      </c>
      <c r="I52" s="11"/>
    </row>
    <row r="53" spans="1:9" x14ac:dyDescent="0.25">
      <c r="A53" s="6"/>
      <c r="B53" s="4">
        <v>1</v>
      </c>
      <c r="C53" s="4">
        <v>2</v>
      </c>
      <c r="D53" s="4" t="s">
        <v>26</v>
      </c>
      <c r="E53" s="4" t="s">
        <v>10</v>
      </c>
      <c r="F53" s="7" t="s">
        <v>16</v>
      </c>
      <c r="G53" s="4">
        <v>-100</v>
      </c>
      <c r="H53" s="4">
        <v>-11</v>
      </c>
      <c r="I53" s="11"/>
    </row>
    <row r="54" spans="1:9" x14ac:dyDescent="0.25">
      <c r="A54" s="6">
        <v>24</v>
      </c>
      <c r="B54" s="4">
        <v>4</v>
      </c>
      <c r="C54" s="4">
        <v>3</v>
      </c>
      <c r="D54" s="4" t="s">
        <v>46</v>
      </c>
      <c r="E54" s="4" t="s">
        <v>33</v>
      </c>
      <c r="F54" s="7" t="s">
        <v>18</v>
      </c>
      <c r="G54" s="4">
        <v>-440</v>
      </c>
      <c r="H54" s="4">
        <v>-1</v>
      </c>
      <c r="I54" s="11"/>
    </row>
    <row r="55" spans="1:9" x14ac:dyDescent="0.25">
      <c r="A55" s="6"/>
      <c r="B55" s="4">
        <v>1</v>
      </c>
      <c r="C55" s="4">
        <v>2</v>
      </c>
      <c r="D55" s="4" t="s">
        <v>46</v>
      </c>
      <c r="E55" s="4" t="s">
        <v>33</v>
      </c>
      <c r="F55" s="7" t="s">
        <v>13</v>
      </c>
      <c r="G55" s="4">
        <v>-420</v>
      </c>
      <c r="H55" s="4">
        <v>1</v>
      </c>
      <c r="I55" s="11"/>
    </row>
    <row r="56" spans="1:9" x14ac:dyDescent="0.25">
      <c r="A56" s="6">
        <v>25</v>
      </c>
      <c r="B56" s="4">
        <v>4</v>
      </c>
      <c r="C56" s="4">
        <v>3</v>
      </c>
      <c r="D56" s="4" t="s">
        <v>48</v>
      </c>
      <c r="E56" s="4" t="s">
        <v>15</v>
      </c>
      <c r="F56" s="7" t="s">
        <v>11</v>
      </c>
      <c r="G56" s="4">
        <v>90</v>
      </c>
      <c r="H56" s="4">
        <v>-3</v>
      </c>
      <c r="I56" s="17"/>
    </row>
    <row r="57" spans="1:9" x14ac:dyDescent="0.25">
      <c r="A57" s="6"/>
      <c r="B57" s="4">
        <v>1</v>
      </c>
      <c r="C57" s="4">
        <v>2</v>
      </c>
      <c r="D57" s="4" t="s">
        <v>49</v>
      </c>
      <c r="E57" s="4" t="s">
        <v>10</v>
      </c>
      <c r="F57" s="7" t="s">
        <v>20</v>
      </c>
      <c r="G57" s="4">
        <v>180</v>
      </c>
      <c r="H57" s="4">
        <v>3</v>
      </c>
      <c r="I57" s="17"/>
    </row>
    <row r="58" spans="1:9" x14ac:dyDescent="0.25">
      <c r="A58" s="6">
        <v>26</v>
      </c>
      <c r="B58" s="4">
        <v>4</v>
      </c>
      <c r="C58" s="4">
        <v>3</v>
      </c>
      <c r="D58" s="4" t="s">
        <v>9</v>
      </c>
      <c r="E58" s="4" t="s">
        <v>15</v>
      </c>
      <c r="F58" s="7" t="s">
        <v>13</v>
      </c>
      <c r="G58" s="4">
        <v>630</v>
      </c>
      <c r="H58" s="4">
        <v>0</v>
      </c>
      <c r="I58" s="17"/>
    </row>
    <row r="59" spans="1:9" x14ac:dyDescent="0.25">
      <c r="A59" s="6"/>
      <c r="B59" s="4">
        <v>1</v>
      </c>
      <c r="C59" s="4">
        <v>2</v>
      </c>
      <c r="D59" s="4" t="s">
        <v>9</v>
      </c>
      <c r="E59" s="4" t="s">
        <v>15</v>
      </c>
      <c r="F59" s="7" t="s">
        <v>13</v>
      </c>
      <c r="G59" s="4">
        <v>630</v>
      </c>
      <c r="H59" s="4">
        <v>0</v>
      </c>
      <c r="I59" s="17"/>
    </row>
    <row r="60" spans="1:9" x14ac:dyDescent="0.25">
      <c r="A60" s="6">
        <v>27</v>
      </c>
      <c r="B60" s="4">
        <v>4</v>
      </c>
      <c r="C60" s="4">
        <v>3</v>
      </c>
      <c r="D60" s="4" t="s">
        <v>19</v>
      </c>
      <c r="E60" s="4" t="s">
        <v>33</v>
      </c>
      <c r="F60" s="7" t="s">
        <v>11</v>
      </c>
      <c r="G60" s="4">
        <v>-980</v>
      </c>
      <c r="H60" s="4">
        <v>0</v>
      </c>
      <c r="I60" s="17"/>
    </row>
    <row r="61" spans="1:9" x14ac:dyDescent="0.25">
      <c r="A61" s="6"/>
      <c r="B61" s="4">
        <v>1</v>
      </c>
      <c r="C61" s="4">
        <v>2</v>
      </c>
      <c r="D61" s="4" t="s">
        <v>19</v>
      </c>
      <c r="E61" s="4" t="s">
        <v>33</v>
      </c>
      <c r="F61" s="7" t="s">
        <v>11</v>
      </c>
      <c r="G61" s="4">
        <v>-980</v>
      </c>
      <c r="H61" s="4">
        <v>0</v>
      </c>
      <c r="I61" s="17"/>
    </row>
    <row r="62" spans="1:9" x14ac:dyDescent="0.25">
      <c r="A62" s="6">
        <v>28</v>
      </c>
      <c r="B62" s="4">
        <v>4</v>
      </c>
      <c r="C62" s="4">
        <v>3</v>
      </c>
      <c r="D62" s="4" t="s">
        <v>22</v>
      </c>
      <c r="E62" s="4" t="s">
        <v>10</v>
      </c>
      <c r="F62" s="7" t="s">
        <v>18</v>
      </c>
      <c r="G62" s="4">
        <v>170</v>
      </c>
      <c r="H62" s="4">
        <v>-10</v>
      </c>
      <c r="I62" s="17"/>
    </row>
    <row r="63" spans="1:9" x14ac:dyDescent="0.25">
      <c r="A63" s="6"/>
      <c r="B63" s="4">
        <v>1</v>
      </c>
      <c r="C63" s="4">
        <v>2</v>
      </c>
      <c r="D63" s="4" t="s">
        <v>12</v>
      </c>
      <c r="E63" s="4" t="s">
        <v>10</v>
      </c>
      <c r="F63" s="7" t="s">
        <v>11</v>
      </c>
      <c r="G63" s="4">
        <v>620</v>
      </c>
      <c r="H63" s="4">
        <v>10</v>
      </c>
      <c r="I63" s="17"/>
    </row>
    <row r="64" spans="1:9" x14ac:dyDescent="0.25">
      <c r="A64" s="6">
        <v>29</v>
      </c>
      <c r="B64" s="4">
        <v>4</v>
      </c>
      <c r="C64" s="4">
        <v>3</v>
      </c>
      <c r="D64" s="4" t="s">
        <v>17</v>
      </c>
      <c r="E64" s="4" t="s">
        <v>33</v>
      </c>
      <c r="F64" s="7" t="s">
        <v>23</v>
      </c>
      <c r="G64" s="4">
        <v>200</v>
      </c>
      <c r="H64" s="4">
        <v>13</v>
      </c>
      <c r="I64" s="17"/>
    </row>
    <row r="65" spans="1:9" x14ac:dyDescent="0.25">
      <c r="A65" s="6"/>
      <c r="B65" s="4">
        <v>1</v>
      </c>
      <c r="C65" s="4">
        <v>2</v>
      </c>
      <c r="D65" s="4" t="s">
        <v>9</v>
      </c>
      <c r="E65" s="4" t="s">
        <v>33</v>
      </c>
      <c r="F65" s="7" t="s">
        <v>11</v>
      </c>
      <c r="G65" s="4">
        <v>-600</v>
      </c>
      <c r="H65" s="4">
        <v>-13</v>
      </c>
      <c r="I65" s="17"/>
    </row>
    <row r="66" spans="1:9" x14ac:dyDescent="0.25">
      <c r="A66" s="6">
        <v>30</v>
      </c>
      <c r="B66" s="4">
        <v>4</v>
      </c>
      <c r="C66" s="4">
        <v>3</v>
      </c>
      <c r="D66" s="4" t="s">
        <v>32</v>
      </c>
      <c r="E66" s="4" t="s">
        <v>33</v>
      </c>
      <c r="F66" s="7" t="s">
        <v>11</v>
      </c>
      <c r="G66" s="4">
        <v>-110</v>
      </c>
      <c r="H66" s="4">
        <v>2</v>
      </c>
      <c r="I66" s="17"/>
    </row>
    <row r="67" spans="1:9" x14ac:dyDescent="0.25">
      <c r="A67" s="6"/>
      <c r="B67" s="4">
        <v>1</v>
      </c>
      <c r="C67" s="4">
        <v>2</v>
      </c>
      <c r="D67" s="4" t="s">
        <v>32</v>
      </c>
      <c r="E67" s="4" t="s">
        <v>33</v>
      </c>
      <c r="F67" s="7" t="s">
        <v>18</v>
      </c>
      <c r="G67" s="4">
        <v>-170</v>
      </c>
      <c r="H67" s="4">
        <v>-2</v>
      </c>
      <c r="I67" s="17"/>
    </row>
    <row r="68" spans="1:9" x14ac:dyDescent="0.25">
      <c r="A68" s="8" t="s">
        <v>43</v>
      </c>
      <c r="B68" s="9" t="s">
        <v>44</v>
      </c>
      <c r="C68" s="18"/>
      <c r="D68" s="18"/>
      <c r="E68" s="18"/>
      <c r="F68" s="18"/>
      <c r="G68" s="18"/>
      <c r="H68" s="9">
        <f>H48+H50+H52+H54+H56+H58+H60+H62+H64+H66</f>
        <v>8</v>
      </c>
      <c r="I68" s="9">
        <v>12.3</v>
      </c>
    </row>
    <row r="69" spans="1:9" x14ac:dyDescent="0.25">
      <c r="A69" s="8"/>
      <c r="B69" s="9" t="s">
        <v>45</v>
      </c>
      <c r="C69" s="19"/>
      <c r="D69" s="19"/>
      <c r="E69" s="19"/>
      <c r="F69" s="19"/>
      <c r="G69" s="19"/>
      <c r="H69" s="9">
        <v>-8</v>
      </c>
      <c r="I69" s="9">
        <v>7.7</v>
      </c>
    </row>
    <row r="71" spans="1:9" x14ac:dyDescent="0.25">
      <c r="A71" s="29" t="s">
        <v>59</v>
      </c>
    </row>
    <row r="72" spans="1:9" x14ac:dyDescent="0.25">
      <c r="A72" s="4" t="s">
        <v>50</v>
      </c>
      <c r="B72" s="25" t="s">
        <v>51</v>
      </c>
      <c r="C72" s="25"/>
      <c r="D72" s="25"/>
      <c r="E72" s="25"/>
      <c r="F72" s="4" t="s">
        <v>52</v>
      </c>
      <c r="G72" s="4" t="s">
        <v>53</v>
      </c>
      <c r="H72" s="27" t="s">
        <v>58</v>
      </c>
    </row>
    <row r="73" spans="1:9" x14ac:dyDescent="0.25">
      <c r="A73" s="12">
        <v>1</v>
      </c>
      <c r="B73" s="22" t="s">
        <v>54</v>
      </c>
      <c r="C73" s="23"/>
      <c r="D73" s="23"/>
      <c r="E73" s="24"/>
      <c r="F73" s="4">
        <f>H25+H46+H69</f>
        <v>-29</v>
      </c>
      <c r="G73" s="26">
        <f>I25+I46+I69</f>
        <v>22.4</v>
      </c>
      <c r="H73" s="28">
        <v>4</v>
      </c>
    </row>
    <row r="74" spans="1:9" x14ac:dyDescent="0.25">
      <c r="A74" s="4">
        <v>2</v>
      </c>
      <c r="B74" s="22" t="s">
        <v>55</v>
      </c>
      <c r="C74" s="23"/>
      <c r="D74" s="23"/>
      <c r="E74" s="24"/>
      <c r="F74" s="4">
        <f>H25+H47+H68</f>
        <v>29</v>
      </c>
      <c r="G74" s="26">
        <f>I25+I47+I68</f>
        <v>37.6</v>
      </c>
      <c r="H74" s="28">
        <v>1</v>
      </c>
    </row>
    <row r="75" spans="1:9" x14ac:dyDescent="0.25">
      <c r="A75" s="4">
        <v>3</v>
      </c>
      <c r="B75" s="22" t="s">
        <v>56</v>
      </c>
      <c r="C75" s="23"/>
      <c r="D75" s="23"/>
      <c r="E75" s="24"/>
      <c r="F75" s="4">
        <f>H24+H47+H69</f>
        <v>13</v>
      </c>
      <c r="G75" s="26">
        <f>I24+I47+I69</f>
        <v>33</v>
      </c>
      <c r="H75" s="28">
        <v>2</v>
      </c>
    </row>
    <row r="76" spans="1:9" x14ac:dyDescent="0.25">
      <c r="A76" s="4">
        <v>4</v>
      </c>
      <c r="B76" s="22" t="s">
        <v>57</v>
      </c>
      <c r="C76" s="23"/>
      <c r="D76" s="23"/>
      <c r="E76" s="24"/>
      <c r="F76" s="4">
        <f>H24+H46+H68</f>
        <v>-13</v>
      </c>
      <c r="G76" s="26">
        <f>I24+I46+I68</f>
        <v>27</v>
      </c>
      <c r="H76" s="28">
        <v>3</v>
      </c>
    </row>
  </sheetData>
  <mergeCells count="35">
    <mergeCell ref="A64:A65"/>
    <mergeCell ref="A66:A67"/>
    <mergeCell ref="A68:A69"/>
    <mergeCell ref="B72:E72"/>
    <mergeCell ref="D1:E1"/>
    <mergeCell ref="A52:A53"/>
    <mergeCell ref="A54:A55"/>
    <mergeCell ref="A56:A57"/>
    <mergeCell ref="A58:A59"/>
    <mergeCell ref="A60:A61"/>
    <mergeCell ref="A62:A63"/>
    <mergeCell ref="A40:A41"/>
    <mergeCell ref="A42:A43"/>
    <mergeCell ref="A44:A45"/>
    <mergeCell ref="A46:A47"/>
    <mergeCell ref="A48:A49"/>
    <mergeCell ref="A50:A51"/>
    <mergeCell ref="A28:A29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4:A5"/>
    <mergeCell ref="A6:A7"/>
    <mergeCell ref="A8:A9"/>
    <mergeCell ref="A10:A11"/>
    <mergeCell ref="A12:A13"/>
    <mergeCell ref="A14:A1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Zerzaň, Jiří</dc:creator>
  <cp:lastModifiedBy>Zerzaň, Jiří</cp:lastModifiedBy>
  <dcterms:created xsi:type="dcterms:W3CDTF">2026-06-04T13:00:10Z</dcterms:created>
  <dcterms:modified xsi:type="dcterms:W3CDTF">2026-06-04T14:44:46Z</dcterms:modified>
</cp:coreProperties>
</file>